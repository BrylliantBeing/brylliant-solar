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FILES\FOR PHLSOLAR TRAININGS\CALCULATORS\"/>
    </mc:Choice>
  </mc:AlternateContent>
  <xr:revisionPtr revIDLastSave="0" documentId="13_ncr:1_{13583F1C-D9DD-40BA-BC08-F2392B4B8B85}" xr6:coauthVersionLast="47" xr6:coauthVersionMax="47" xr10:uidLastSave="{00000000-0000-0000-0000-000000000000}"/>
  <bookViews>
    <workbookView xWindow="-108" yWindow="-108" windowWidth="23256" windowHeight="13896" xr2:uid="{AD6E88AC-8501-48E3-BDF5-80F75B33D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10" i="1" s="1"/>
  <c r="D11" i="1" s="1"/>
  <c r="D14" i="1" s="1"/>
  <c r="D17" i="1" s="1"/>
  <c r="J14" i="1" l="1"/>
</calcChain>
</file>

<file path=xl/sharedStrings.xml><?xml version="1.0" encoding="utf-8"?>
<sst xmlns="http://schemas.openxmlformats.org/spreadsheetml/2006/main" count="41" uniqueCount="33">
  <si>
    <t>X^2     =</t>
  </si>
  <si>
    <t>R^2     =</t>
  </si>
  <si>
    <t>r^2 + x^2 =</t>
  </si>
  <si>
    <r>
      <rPr>
        <b/>
        <sz val="11"/>
        <color theme="1"/>
        <rFont val="Calibri"/>
        <family val="2"/>
        <scheme val="minor"/>
      </rPr>
      <t xml:space="preserve">Z  </t>
    </r>
    <r>
      <rPr>
        <sz val="11"/>
        <color theme="1"/>
        <rFont val="Calibri"/>
        <family val="2"/>
        <scheme val="minor"/>
      </rPr>
      <t xml:space="preserve">        =</t>
    </r>
  </si>
  <si>
    <t>V Drop</t>
  </si>
  <si>
    <t>VOLTAGE DROP CALCULATION</t>
  </si>
  <si>
    <t>V Drop % =</t>
  </si>
  <si>
    <t>Table 10.1.1.9 Alternating-Current Resistance and Reactance for 600-Volt Cable, 3-Phase, 60 Hz, 75C-
Three Single Conductors in Conduit</t>
  </si>
  <si>
    <t>Conductor
Size
[mm2 
(mm dia)]</t>
  </si>
  <si>
    <t>Ohms to Neutral per 305 m</t>
  </si>
  <si>
    <t>XL (Reactance) for
All wires</t>
  </si>
  <si>
    <t>Alternating-Current Resistance
for Uncoated Copper Wires</t>
  </si>
  <si>
    <t>Alternating-Current Resistance
for Aluminum Wires</t>
  </si>
  <si>
    <t>Steel 
Conduits</t>
  </si>
  <si>
    <t>PVC
Conduit</t>
  </si>
  <si>
    <t>Aluminum
Conduit</t>
  </si>
  <si>
    <t>Steel 
Conduit</t>
  </si>
  <si>
    <t>2.0(1.6)*</t>
  </si>
  <si>
    <t>-</t>
  </si>
  <si>
    <t>3.5(2.0)*</t>
  </si>
  <si>
    <t>5.5(2.6)*</t>
  </si>
  <si>
    <t>8.0(3.2)</t>
  </si>
  <si>
    <t>X (REACTANCE)</t>
  </si>
  <si>
    <t>R (RESISTANCE)</t>
  </si>
  <si>
    <t>2 (SINGLE PHASE)</t>
  </si>
  <si>
    <t>1.732 (THREE PHASE)</t>
  </si>
  <si>
    <t>Voltage (at the end) =</t>
  </si>
  <si>
    <t>Nominal Voltage</t>
  </si>
  <si>
    <t>volts</t>
  </si>
  <si>
    <t>PVC/
Aluminum
Conduits</t>
  </si>
  <si>
    <t>I (ISC)</t>
  </si>
  <si>
    <t>DISTANCE (m)</t>
  </si>
  <si>
    <t>CONSTANT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</si>
</sst>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5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0" xfId="0" applyFont="1"/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0" fontId="0" fillId="2" borderId="0" xfId="1" applyNumberFormat="1" applyFont="1" applyFill="1" applyBorder="1"/>
    <xf numFmtId="0" fontId="4" fillId="2" borderId="6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FF85-69B3-491F-AF69-3594DA79090D}">
  <dimension ref="B1:W31"/>
  <sheetViews>
    <sheetView tabSelected="1" zoomScale="85" zoomScaleNormal="85" workbookViewId="0">
      <selection activeCell="E9" sqref="E9"/>
    </sheetView>
  </sheetViews>
  <sheetFormatPr defaultRowHeight="14.4" x14ac:dyDescent="0.3"/>
  <cols>
    <col min="3" max="3" width="17.88671875" customWidth="1"/>
    <col min="5" max="5" width="14.33203125" bestFit="1" customWidth="1"/>
    <col min="9" max="9" width="10.88671875" customWidth="1"/>
    <col min="16" max="16" width="9.88671875" customWidth="1"/>
    <col min="17" max="17" width="12" bestFit="1" customWidth="1"/>
  </cols>
  <sheetData>
    <row r="1" spans="2:23" ht="15" thickBot="1" x14ac:dyDescent="0.35"/>
    <row r="2" spans="2:23" ht="15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 spans="2:23" ht="18" x14ac:dyDescent="0.35">
      <c r="B3" s="4"/>
      <c r="C3" s="26" t="s">
        <v>5</v>
      </c>
      <c r="L3" s="5"/>
      <c r="N3" s="35" t="s">
        <v>7</v>
      </c>
      <c r="O3" s="36"/>
      <c r="P3" s="36"/>
      <c r="Q3" s="36"/>
      <c r="R3" s="36"/>
      <c r="S3" s="36"/>
      <c r="T3" s="36"/>
      <c r="U3" s="36"/>
      <c r="V3" s="36"/>
      <c r="W3" s="37"/>
    </row>
    <row r="4" spans="2:23" ht="15" thickBot="1" x14ac:dyDescent="0.35">
      <c r="B4" s="4"/>
      <c r="L4" s="5"/>
      <c r="N4" s="38"/>
      <c r="O4" s="39"/>
      <c r="P4" s="39"/>
      <c r="Q4" s="39"/>
      <c r="R4" s="39"/>
      <c r="S4" s="39"/>
      <c r="T4" s="39"/>
      <c r="U4" s="39"/>
      <c r="V4" s="39"/>
      <c r="W4" s="40"/>
    </row>
    <row r="5" spans="2:23" ht="15" thickBot="1" x14ac:dyDescent="0.35">
      <c r="B5" s="4"/>
      <c r="C5" s="12" t="s">
        <v>22</v>
      </c>
      <c r="D5" s="13"/>
      <c r="E5" s="12" t="s">
        <v>23</v>
      </c>
      <c r="F5" s="13"/>
      <c r="G5" s="12" t="s">
        <v>31</v>
      </c>
      <c r="H5" s="13"/>
      <c r="I5" s="13" t="s">
        <v>32</v>
      </c>
      <c r="J5" s="13"/>
      <c r="K5" s="13" t="s">
        <v>30</v>
      </c>
      <c r="L5" s="5"/>
      <c r="N5" s="41" t="s">
        <v>8</v>
      </c>
      <c r="O5" s="42"/>
      <c r="P5" s="47" t="s">
        <v>9</v>
      </c>
      <c r="Q5" s="48"/>
      <c r="R5" s="48"/>
      <c r="S5" s="48"/>
      <c r="T5" s="48"/>
      <c r="U5" s="48"/>
      <c r="V5" s="48"/>
      <c r="W5" s="49"/>
    </row>
    <row r="6" spans="2:23" ht="29.25" customHeight="1" thickBot="1" x14ac:dyDescent="0.35">
      <c r="B6" s="4"/>
      <c r="C6" s="6">
        <v>5.3999999999999999E-2</v>
      </c>
      <c r="E6" s="6">
        <v>2</v>
      </c>
      <c r="G6" s="6">
        <v>50</v>
      </c>
      <c r="I6" s="6">
        <v>2</v>
      </c>
      <c r="K6" s="6">
        <v>13</v>
      </c>
      <c r="L6" s="5"/>
      <c r="N6" s="43"/>
      <c r="O6" s="44"/>
      <c r="P6" s="50" t="s">
        <v>10</v>
      </c>
      <c r="Q6" s="32"/>
      <c r="R6" s="50" t="s">
        <v>11</v>
      </c>
      <c r="S6" s="52"/>
      <c r="T6" s="32"/>
      <c r="U6" s="50" t="s">
        <v>12</v>
      </c>
      <c r="V6" s="52"/>
      <c r="W6" s="54"/>
    </row>
    <row r="7" spans="2:23" ht="15" thickBot="1" x14ac:dyDescent="0.35">
      <c r="B7" s="4"/>
      <c r="L7" s="5"/>
      <c r="N7" s="43"/>
      <c r="O7" s="44"/>
      <c r="P7" s="51"/>
      <c r="Q7" s="34"/>
      <c r="R7" s="51"/>
      <c r="S7" s="53"/>
      <c r="T7" s="34"/>
      <c r="U7" s="51"/>
      <c r="V7" s="53"/>
      <c r="W7" s="55"/>
    </row>
    <row r="8" spans="2:23" ht="29.25" customHeight="1" x14ac:dyDescent="0.3">
      <c r="B8" s="4"/>
      <c r="C8" t="s">
        <v>0</v>
      </c>
      <c r="D8">
        <f>C6*C6</f>
        <v>2.9159999999999998E-3</v>
      </c>
      <c r="L8" s="5"/>
      <c r="N8" s="43"/>
      <c r="O8" s="44"/>
      <c r="P8" s="56" t="s">
        <v>29</v>
      </c>
      <c r="Q8" s="56" t="s">
        <v>13</v>
      </c>
      <c r="R8" s="56" t="s">
        <v>14</v>
      </c>
      <c r="S8" s="56" t="s">
        <v>15</v>
      </c>
      <c r="T8" s="56" t="s">
        <v>16</v>
      </c>
      <c r="U8" s="56" t="s">
        <v>14</v>
      </c>
      <c r="V8" s="56" t="s">
        <v>15</v>
      </c>
      <c r="W8" s="59" t="s">
        <v>16</v>
      </c>
    </row>
    <row r="9" spans="2:23" x14ac:dyDescent="0.3">
      <c r="B9" s="4"/>
      <c r="C9" t="s">
        <v>1</v>
      </c>
      <c r="D9">
        <f>E6*E6</f>
        <v>4</v>
      </c>
      <c r="H9" s="13" t="s">
        <v>32</v>
      </c>
      <c r="I9" s="13"/>
      <c r="J9" t="s">
        <v>24</v>
      </c>
      <c r="L9" s="5"/>
      <c r="N9" s="43"/>
      <c r="O9" s="44"/>
      <c r="P9" s="57"/>
      <c r="Q9" s="57"/>
      <c r="R9" s="57"/>
      <c r="S9" s="57"/>
      <c r="T9" s="57"/>
      <c r="U9" s="57"/>
      <c r="V9" s="57"/>
      <c r="W9" s="60"/>
    </row>
    <row r="10" spans="2:23" ht="15" thickBot="1" x14ac:dyDescent="0.35">
      <c r="B10" s="4"/>
      <c r="C10" t="s">
        <v>2</v>
      </c>
      <c r="D10">
        <f>SUM(D8:D9)</f>
        <v>4.0029159999999999</v>
      </c>
      <c r="J10" t="s">
        <v>25</v>
      </c>
      <c r="L10" s="5"/>
      <c r="N10" s="45"/>
      <c r="O10" s="46"/>
      <c r="P10" s="58"/>
      <c r="Q10" s="58"/>
      <c r="R10" s="58"/>
      <c r="S10" s="58"/>
      <c r="T10" s="58"/>
      <c r="U10" s="58"/>
      <c r="V10" s="58"/>
      <c r="W10" s="61"/>
    </row>
    <row r="11" spans="2:23" ht="15" customHeight="1" x14ac:dyDescent="0.3">
      <c r="B11" s="4"/>
      <c r="C11" t="s">
        <v>3</v>
      </c>
      <c r="D11">
        <f>SQRT(D10)</f>
        <v>2.0007288671881556</v>
      </c>
      <c r="J11" s="7"/>
      <c r="L11" s="5"/>
      <c r="N11" s="31" t="s">
        <v>17</v>
      </c>
      <c r="O11" s="32"/>
      <c r="P11" s="16">
        <v>5.8000000000000003E-2</v>
      </c>
      <c r="Q11" s="16">
        <v>7.2999999999999995E-2</v>
      </c>
      <c r="R11" s="16">
        <v>3.1</v>
      </c>
      <c r="S11" s="16">
        <v>3.1</v>
      </c>
      <c r="T11" s="16">
        <v>3.1</v>
      </c>
      <c r="U11" s="16" t="s">
        <v>18</v>
      </c>
      <c r="V11" s="16" t="s">
        <v>18</v>
      </c>
      <c r="W11" s="21" t="s">
        <v>18</v>
      </c>
    </row>
    <row r="12" spans="2:23" ht="15" customHeight="1" x14ac:dyDescent="0.3">
      <c r="B12" s="4"/>
      <c r="L12" s="5"/>
      <c r="N12" s="27" t="s">
        <v>19</v>
      </c>
      <c r="O12" s="28"/>
      <c r="P12" s="16">
        <v>5.3999999999999999E-2</v>
      </c>
      <c r="Q12" s="16">
        <v>6.8000000000000005E-2</v>
      </c>
      <c r="R12" s="16">
        <v>2</v>
      </c>
      <c r="S12" s="16">
        <v>2</v>
      </c>
      <c r="T12" s="16">
        <v>2</v>
      </c>
      <c r="U12" s="16">
        <v>3.2</v>
      </c>
      <c r="V12" s="16">
        <v>3.2</v>
      </c>
      <c r="W12" s="21">
        <v>3.2</v>
      </c>
    </row>
    <row r="13" spans="2:23" ht="15" thickBot="1" x14ac:dyDescent="0.35">
      <c r="B13" s="4"/>
      <c r="L13" s="5"/>
      <c r="N13" s="27" t="s">
        <v>20</v>
      </c>
      <c r="O13" s="28"/>
      <c r="P13" s="16">
        <v>0.05</v>
      </c>
      <c r="Q13" s="16">
        <v>6.3E-2</v>
      </c>
      <c r="R13" s="16">
        <v>1.2</v>
      </c>
      <c r="S13" s="16">
        <v>1.2</v>
      </c>
      <c r="T13" s="16">
        <v>1.2</v>
      </c>
      <c r="U13" s="16">
        <v>2</v>
      </c>
      <c r="V13" s="16">
        <v>2</v>
      </c>
      <c r="W13" s="21">
        <v>2</v>
      </c>
    </row>
    <row r="14" spans="2:23" ht="15" customHeight="1" thickBot="1" x14ac:dyDescent="0.35">
      <c r="B14" s="4"/>
      <c r="C14" s="11" t="s">
        <v>4</v>
      </c>
      <c r="D14" s="63">
        <f>(I6*G6*K6*D11)/305</f>
        <v>8.5276968109659101</v>
      </c>
      <c r="E14" s="13" t="s">
        <v>28</v>
      </c>
      <c r="I14" t="s">
        <v>6</v>
      </c>
      <c r="J14" s="62">
        <f>(D14/240)</f>
        <v>3.553207004569129E-2</v>
      </c>
      <c r="L14" s="5"/>
      <c r="N14" s="27" t="s">
        <v>21</v>
      </c>
      <c r="O14" s="28"/>
      <c r="P14" s="16">
        <v>5.1999999999999998E-2</v>
      </c>
      <c r="Q14" s="16">
        <v>6.5000000000000002E-2</v>
      </c>
      <c r="R14" s="16">
        <v>0.78</v>
      </c>
      <c r="S14" s="16">
        <v>0.78</v>
      </c>
      <c r="T14" s="16">
        <v>0.78</v>
      </c>
      <c r="U14" s="16">
        <v>1.3</v>
      </c>
      <c r="V14" s="16">
        <v>1.3</v>
      </c>
      <c r="W14" s="21">
        <v>1.3</v>
      </c>
    </row>
    <row r="15" spans="2:23" ht="15.75" customHeight="1" thickBot="1" x14ac:dyDescent="0.35">
      <c r="B15" s="4"/>
      <c r="C15" s="14"/>
      <c r="D15" s="15"/>
      <c r="E15" s="13"/>
      <c r="L15" s="5"/>
      <c r="N15" s="33">
        <v>14</v>
      </c>
      <c r="O15" s="34"/>
      <c r="P15" s="17">
        <v>5.0999999999999997E-2</v>
      </c>
      <c r="Q15" s="17">
        <v>6.4000000000000001E-2</v>
      </c>
      <c r="R15" s="17">
        <v>0.49</v>
      </c>
      <c r="S15" s="17">
        <v>0.49</v>
      </c>
      <c r="T15" s="17">
        <v>0.49</v>
      </c>
      <c r="U15" s="17">
        <v>0.81</v>
      </c>
      <c r="V15" s="17">
        <v>0.81</v>
      </c>
      <c r="W15" s="20">
        <v>0.81</v>
      </c>
    </row>
    <row r="16" spans="2:23" ht="15" customHeight="1" x14ac:dyDescent="0.3">
      <c r="B16" s="4"/>
      <c r="C16" t="s">
        <v>27</v>
      </c>
      <c r="D16" s="13">
        <v>350</v>
      </c>
      <c r="E16" s="13" t="s">
        <v>28</v>
      </c>
      <c r="L16" s="5"/>
      <c r="N16" s="31">
        <v>22</v>
      </c>
      <c r="O16" s="32"/>
      <c r="P16" s="16">
        <v>4.8000000000000001E-2</v>
      </c>
      <c r="Q16" s="16">
        <v>0.06</v>
      </c>
      <c r="R16" s="16">
        <v>0.31</v>
      </c>
      <c r="S16" s="16">
        <v>0.31</v>
      </c>
      <c r="T16" s="16">
        <v>0.31</v>
      </c>
      <c r="U16" s="16">
        <v>0.51</v>
      </c>
      <c r="V16" s="16">
        <v>0.51</v>
      </c>
      <c r="W16" s="21">
        <v>0.51</v>
      </c>
    </row>
    <row r="17" spans="2:23" ht="15" customHeight="1" x14ac:dyDescent="0.3">
      <c r="B17" s="4"/>
      <c r="C17" t="s">
        <v>26</v>
      </c>
      <c r="D17" s="13">
        <f>D16-D14</f>
        <v>341.47230318903411</v>
      </c>
      <c r="E17" s="13" t="s">
        <v>28</v>
      </c>
      <c r="L17" s="5"/>
      <c r="N17" s="27">
        <v>30</v>
      </c>
      <c r="O17" s="28"/>
      <c r="P17" s="16">
        <v>4.4999999999999998E-2</v>
      </c>
      <c r="Q17" s="16">
        <v>5.7000000000000002E-2</v>
      </c>
      <c r="R17" s="16">
        <v>0.19</v>
      </c>
      <c r="S17" s="16">
        <v>0.2</v>
      </c>
      <c r="T17" s="16">
        <v>0.2</v>
      </c>
      <c r="U17" s="16">
        <v>0.32</v>
      </c>
      <c r="V17" s="16">
        <v>0.32</v>
      </c>
      <c r="W17" s="21">
        <v>0.32</v>
      </c>
    </row>
    <row r="18" spans="2:23" ht="15" thickBot="1" x14ac:dyDescent="0.35">
      <c r="B18" s="4"/>
      <c r="L18" s="5"/>
      <c r="N18" s="33">
        <v>38</v>
      </c>
      <c r="O18" s="34"/>
      <c r="P18" s="17">
        <v>4.5999999999999999E-2</v>
      </c>
      <c r="Q18" s="17">
        <v>5.7000000000000002E-2</v>
      </c>
      <c r="R18" s="17">
        <v>0.15</v>
      </c>
      <c r="S18" s="17">
        <v>0.16</v>
      </c>
      <c r="T18" s="17">
        <v>0.16</v>
      </c>
      <c r="U18" s="17">
        <v>0.25</v>
      </c>
      <c r="V18" s="17">
        <v>0.26</v>
      </c>
      <c r="W18" s="20">
        <v>0.25</v>
      </c>
    </row>
    <row r="19" spans="2:23" ht="15" thickBot="1" x14ac:dyDescent="0.35">
      <c r="B19" s="8"/>
      <c r="C19" s="9"/>
      <c r="D19" s="9"/>
      <c r="E19" s="9"/>
      <c r="F19" s="9"/>
      <c r="G19" s="9"/>
      <c r="H19" s="9"/>
      <c r="I19" s="9"/>
      <c r="J19" s="9"/>
      <c r="K19" s="9"/>
      <c r="L19" s="10"/>
      <c r="N19" s="31">
        <v>50</v>
      </c>
      <c r="O19" s="32"/>
      <c r="P19" s="16">
        <v>4.3999999999999997E-2</v>
      </c>
      <c r="Q19" s="16">
        <v>5.5E-2</v>
      </c>
      <c r="R19" s="16">
        <v>0.12</v>
      </c>
      <c r="S19" s="16">
        <v>0.13</v>
      </c>
      <c r="T19" s="16">
        <v>0.12</v>
      </c>
      <c r="U19" s="16">
        <v>0.2</v>
      </c>
      <c r="V19" s="16">
        <v>0.21</v>
      </c>
      <c r="W19" s="21">
        <v>0.2</v>
      </c>
    </row>
    <row r="20" spans="2:23" ht="15" customHeight="1" x14ac:dyDescent="0.3">
      <c r="N20" s="27">
        <v>60</v>
      </c>
      <c r="O20" s="28"/>
      <c r="P20" s="16">
        <v>4.2999999999999997E-2</v>
      </c>
      <c r="Q20" s="16">
        <v>5.3999999999999999E-2</v>
      </c>
      <c r="R20" s="16">
        <v>0.1</v>
      </c>
      <c r="S20" s="16">
        <v>0.1</v>
      </c>
      <c r="T20" s="16">
        <v>0.1</v>
      </c>
      <c r="U20" s="16">
        <v>0.16</v>
      </c>
      <c r="V20" s="16">
        <v>0.16</v>
      </c>
      <c r="W20" s="21">
        <v>0.16</v>
      </c>
    </row>
    <row r="21" spans="2:23" ht="15" customHeight="1" x14ac:dyDescent="0.3">
      <c r="N21" s="27">
        <v>80</v>
      </c>
      <c r="O21" s="28"/>
      <c r="P21" s="16">
        <v>4.2000000000000003E-2</v>
      </c>
      <c r="Q21" s="16">
        <v>5.1999999999999998E-2</v>
      </c>
      <c r="R21" s="16">
        <v>7.6999999999999999E-2</v>
      </c>
      <c r="S21" s="16">
        <v>8.2000000000000003E-2</v>
      </c>
      <c r="T21" s="16">
        <v>7.9000000000000001E-2</v>
      </c>
      <c r="U21" s="16">
        <v>0.13</v>
      </c>
      <c r="V21" s="16">
        <v>0.13</v>
      </c>
      <c r="W21" s="21">
        <v>0.13</v>
      </c>
    </row>
    <row r="22" spans="2:23" ht="15" thickBot="1" x14ac:dyDescent="0.35">
      <c r="N22" s="33">
        <v>100</v>
      </c>
      <c r="O22" s="34"/>
      <c r="P22" s="17">
        <v>4.1000000000000002E-2</v>
      </c>
      <c r="Q22" s="17">
        <v>5.0999999999999997E-2</v>
      </c>
      <c r="R22" s="17">
        <v>6.2E-2</v>
      </c>
      <c r="S22" s="17">
        <v>6.7000000000000004E-2</v>
      </c>
      <c r="T22" s="17">
        <v>6.3E-2</v>
      </c>
      <c r="U22" s="17">
        <v>0.1</v>
      </c>
      <c r="V22" s="17">
        <v>0.11</v>
      </c>
      <c r="W22" s="20">
        <v>0.1</v>
      </c>
    </row>
    <row r="23" spans="2:23" ht="15" customHeight="1" x14ac:dyDescent="0.3">
      <c r="N23" s="31">
        <v>125</v>
      </c>
      <c r="O23" s="32"/>
      <c r="P23" s="16">
        <v>4.1000000000000002E-2</v>
      </c>
      <c r="Q23" s="16">
        <v>5.1999999999999998E-2</v>
      </c>
      <c r="R23" s="16">
        <v>5.1999999999999998E-2</v>
      </c>
      <c r="S23" s="16">
        <v>5.7000000000000002E-2</v>
      </c>
      <c r="T23" s="16">
        <v>5.3999999999999999E-2</v>
      </c>
      <c r="U23" s="16">
        <v>8.5000000000000006E-2</v>
      </c>
      <c r="V23" s="16">
        <v>0.09</v>
      </c>
      <c r="W23" s="21">
        <v>8.5999999999999993E-2</v>
      </c>
    </row>
    <row r="24" spans="2:23" ht="15" customHeight="1" x14ac:dyDescent="0.3">
      <c r="N24" s="27">
        <v>150</v>
      </c>
      <c r="O24" s="28"/>
      <c r="P24" s="16">
        <v>4.1000000000000002E-2</v>
      </c>
      <c r="Q24" s="16">
        <v>5.0999999999999997E-2</v>
      </c>
      <c r="R24" s="16">
        <v>4.3999999999999997E-2</v>
      </c>
      <c r="S24" s="16">
        <v>4.9000000000000002E-2</v>
      </c>
      <c r="T24" s="16">
        <v>4.4999999999999998E-2</v>
      </c>
      <c r="U24" s="16">
        <v>7.0999999999999994E-2</v>
      </c>
      <c r="V24" s="16">
        <v>7.5999999999999998E-2</v>
      </c>
      <c r="W24" s="21">
        <v>7.1999999999999995E-2</v>
      </c>
    </row>
    <row r="25" spans="2:23" ht="15" customHeight="1" x14ac:dyDescent="0.3">
      <c r="N25" s="27">
        <v>175</v>
      </c>
      <c r="O25" s="28"/>
      <c r="P25" s="16">
        <v>0.04</v>
      </c>
      <c r="Q25" s="16">
        <v>0.05</v>
      </c>
      <c r="R25" s="16">
        <v>3.7999999999999999E-2</v>
      </c>
      <c r="S25" s="16">
        <v>4.2999999999999997E-2</v>
      </c>
      <c r="T25" s="16">
        <v>3.9E-2</v>
      </c>
      <c r="U25" s="16">
        <v>6.0999999999999999E-2</v>
      </c>
      <c r="V25" s="16">
        <v>6.6000000000000003E-2</v>
      </c>
      <c r="W25" s="21">
        <v>6.3E-2</v>
      </c>
    </row>
    <row r="26" spans="2:23" ht="15" thickBot="1" x14ac:dyDescent="0.35">
      <c r="N26" s="33">
        <v>200</v>
      </c>
      <c r="O26" s="34"/>
      <c r="P26" s="18">
        <v>0.04</v>
      </c>
      <c r="Q26" s="18">
        <v>4.9000000000000002E-2</v>
      </c>
      <c r="R26" s="18">
        <v>3.3000000000000002E-2</v>
      </c>
      <c r="S26" s="18">
        <v>3.7999999999999999E-2</v>
      </c>
      <c r="T26" s="18">
        <v>3.5000000000000003E-2</v>
      </c>
      <c r="U26" s="18">
        <v>5.3999999999999999E-2</v>
      </c>
      <c r="V26" s="18">
        <v>5.8999999999999997E-2</v>
      </c>
      <c r="W26" s="22">
        <v>5.5E-2</v>
      </c>
    </row>
    <row r="27" spans="2:23" ht="15" customHeight="1" x14ac:dyDescent="0.3">
      <c r="N27" s="31">
        <v>250</v>
      </c>
      <c r="O27" s="32"/>
      <c r="P27" s="16">
        <v>3.9E-2</v>
      </c>
      <c r="Q27" s="16">
        <v>4.8000000000000001E-2</v>
      </c>
      <c r="R27" s="16">
        <v>2.7E-2</v>
      </c>
      <c r="S27" s="16">
        <v>3.2000000000000001E-2</v>
      </c>
      <c r="T27" s="16">
        <v>2.9000000000000001E-2</v>
      </c>
      <c r="U27" s="16">
        <v>4.2999999999999997E-2</v>
      </c>
      <c r="V27" s="16">
        <v>4.8000000000000001E-2</v>
      </c>
      <c r="W27" s="21">
        <v>4.4999999999999998E-2</v>
      </c>
    </row>
    <row r="28" spans="2:23" ht="15" customHeight="1" x14ac:dyDescent="0.3">
      <c r="N28" s="27">
        <v>325</v>
      </c>
      <c r="O28" s="28"/>
      <c r="P28" s="19">
        <v>3.9E-2</v>
      </c>
      <c r="Q28" s="19">
        <v>4.8000000000000001E-2</v>
      </c>
      <c r="R28" s="19">
        <v>2.3E-2</v>
      </c>
      <c r="S28" s="19">
        <v>2.8000000000000001E-2</v>
      </c>
      <c r="T28" s="19">
        <v>2.5000000000000001E-2</v>
      </c>
      <c r="U28" s="19">
        <v>3.5999999999999997E-2</v>
      </c>
      <c r="V28" s="19">
        <v>4.1000000000000002E-2</v>
      </c>
      <c r="W28" s="23">
        <v>3.7999999999999999E-2</v>
      </c>
    </row>
    <row r="29" spans="2:23" ht="15" customHeight="1" x14ac:dyDescent="0.3">
      <c r="N29" s="27">
        <v>375</v>
      </c>
      <c r="O29" s="28"/>
      <c r="P29" s="19">
        <v>3.7999999999999999E-2</v>
      </c>
      <c r="Q29" s="19">
        <v>4.8000000000000001E-2</v>
      </c>
      <c r="R29" s="19">
        <v>1.9E-2</v>
      </c>
      <c r="S29" s="19">
        <v>2.4E-2</v>
      </c>
      <c r="T29" s="19">
        <v>2.1000000000000001E-2</v>
      </c>
      <c r="U29" s="19">
        <v>2.9000000000000001E-2</v>
      </c>
      <c r="V29" s="19">
        <v>3.4000000000000002E-2</v>
      </c>
      <c r="W29" s="23">
        <v>3.1E-2</v>
      </c>
    </row>
    <row r="30" spans="2:23" ht="15" customHeight="1" x14ac:dyDescent="0.3">
      <c r="N30" s="27">
        <v>400</v>
      </c>
      <c r="O30" s="28"/>
      <c r="P30" s="19">
        <v>3.7999999999999999E-2</v>
      </c>
      <c r="Q30" s="19">
        <v>4.8000000000000001E-2</v>
      </c>
      <c r="R30" s="19">
        <v>1.9E-2</v>
      </c>
      <c r="S30" s="19">
        <v>2.4E-2</v>
      </c>
      <c r="T30" s="19">
        <v>2.1000000000000001E-2</v>
      </c>
      <c r="U30" s="19">
        <v>2.9000000000000001E-2</v>
      </c>
      <c r="V30" s="19">
        <v>3.4000000000000002E-2</v>
      </c>
      <c r="W30" s="23">
        <v>3.1E-2</v>
      </c>
    </row>
    <row r="31" spans="2:23" ht="15" thickBot="1" x14ac:dyDescent="0.35">
      <c r="N31" s="29">
        <v>500</v>
      </c>
      <c r="O31" s="30"/>
      <c r="P31" s="24">
        <v>3.6999999999999998E-2</v>
      </c>
      <c r="Q31" s="24">
        <v>4.5999999999999999E-2</v>
      </c>
      <c r="R31" s="24">
        <v>1.4999999999999999E-2</v>
      </c>
      <c r="S31" s="24">
        <v>1.9E-2</v>
      </c>
      <c r="T31" s="24">
        <v>1.7999999999999999E-2</v>
      </c>
      <c r="U31" s="24">
        <v>2.3E-2</v>
      </c>
      <c r="V31" s="24">
        <v>2.7E-2</v>
      </c>
      <c r="W31" s="25">
        <v>2.5000000000000001E-2</v>
      </c>
    </row>
  </sheetData>
  <mergeCells count="35">
    <mergeCell ref="N3:W4"/>
    <mergeCell ref="N5:O10"/>
    <mergeCell ref="P5:W5"/>
    <mergeCell ref="P6:Q7"/>
    <mergeCell ref="R6:T7"/>
    <mergeCell ref="U6:W7"/>
    <mergeCell ref="P8:P10"/>
    <mergeCell ref="Q8:Q10"/>
    <mergeCell ref="R8:R10"/>
    <mergeCell ref="S8:S10"/>
    <mergeCell ref="T8:T10"/>
    <mergeCell ref="U8:U10"/>
    <mergeCell ref="V8:V10"/>
    <mergeCell ref="W8:W10"/>
    <mergeCell ref="N22:O22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9:O29"/>
    <mergeCell ref="N30:O30"/>
    <mergeCell ref="N31:O31"/>
    <mergeCell ref="N23:O23"/>
    <mergeCell ref="N24:O24"/>
    <mergeCell ref="N25:O25"/>
    <mergeCell ref="N26:O26"/>
    <mergeCell ref="N27:O27"/>
    <mergeCell ref="N28:O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Francisco Jay</cp:lastModifiedBy>
  <dcterms:created xsi:type="dcterms:W3CDTF">2024-06-27T02:02:51Z</dcterms:created>
  <dcterms:modified xsi:type="dcterms:W3CDTF">2026-10-10T12:16:36Z</dcterms:modified>
</cp:coreProperties>
</file>